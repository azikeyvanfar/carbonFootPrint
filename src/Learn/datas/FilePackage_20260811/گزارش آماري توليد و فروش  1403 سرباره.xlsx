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934463\Desktop\"/>
    </mc:Choice>
  </mc:AlternateContent>
  <xr:revisionPtr revIDLastSave="0" documentId="13_ncr:1_{6E043EBC-E135-4D78-87D4-75D9339FC4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تولید و فروش سربار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2" i="1" l="1"/>
  <c r="C11" i="1" l="1"/>
</calcChain>
</file>

<file path=xl/sharedStrings.xml><?xml version="1.0" encoding="utf-8"?>
<sst xmlns="http://schemas.openxmlformats.org/spreadsheetml/2006/main" count="14" uniqueCount="14">
  <si>
    <t>نرخ فروش</t>
  </si>
  <si>
    <t>درصد فروش</t>
  </si>
  <si>
    <t>آیتم</t>
  </si>
  <si>
    <t>ردیف</t>
  </si>
  <si>
    <t xml:space="preserve">           </t>
  </si>
  <si>
    <t>گزارش آماری تولید و فروش سرباره- ارقام به کیلوگرم می باشد</t>
  </si>
  <si>
    <t>سرجمع مقدار فروش و استفاده مجدد</t>
  </si>
  <si>
    <t xml:space="preserve">ضایعات ذوبی </t>
  </si>
  <si>
    <t>کلوخه</t>
  </si>
  <si>
    <t xml:space="preserve">سرباره فروخته شده به شهرداری </t>
  </si>
  <si>
    <t>سرباره مصرف داخلی(فولاد )</t>
  </si>
  <si>
    <t>سرباره مصرف داخلی(فروش آزاد به پیمانکاران)</t>
  </si>
  <si>
    <t xml:space="preserve"> سرباره فروخته شده خارج از شرکت(سیمان )</t>
  </si>
  <si>
    <t xml:space="preserve">  سرباره پذیرش شده (دپو)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</si>
</sst>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b/>
      <sz val="10"/>
      <color theme="1"/>
      <name val="B Nazanin"/>
      <charset val="178"/>
    </font>
    <font>
      <sz val="11"/>
      <name val="B Nazanin"/>
      <charset val="178"/>
    </font>
    <font>
      <b/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/>
    <xf numFmtId="3" fontId="1" fillId="4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D13"/>
  <sheetViews>
    <sheetView rightToLeft="1" tabSelected="1" topLeftCell="B1" zoomScaleNormal="100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E10" sqref="E10"/>
    </sheetView>
  </sheetViews>
  <sheetFormatPr defaultRowHeight="14.25" x14ac:dyDescent="0.2"/>
  <cols>
    <col min="1" max="1" width="4.75" customWidth="1"/>
    <col min="2" max="2" width="27.75" bestFit="1" customWidth="1"/>
    <col min="3" max="3" width="16.25" customWidth="1"/>
    <col min="4" max="4" width="12.375" customWidth="1"/>
  </cols>
  <sheetData>
    <row r="1" spans="1:4" ht="19.5" x14ac:dyDescent="0.2">
      <c r="A1" s="14" t="s">
        <v>5</v>
      </c>
      <c r="B1" s="14"/>
      <c r="C1" s="14"/>
    </row>
    <row r="2" spans="1:4" ht="19.5" x14ac:dyDescent="0.2">
      <c r="A2" s="4" t="s">
        <v>3</v>
      </c>
      <c r="B2" s="4" t="s">
        <v>2</v>
      </c>
      <c r="C2" s="4">
        <v>1403</v>
      </c>
    </row>
    <row r="3" spans="1:4" ht="18" x14ac:dyDescent="0.2">
      <c r="A3" s="1">
        <v>1</v>
      </c>
      <c r="B3" s="11" t="s">
        <v>13</v>
      </c>
      <c r="C3" s="10">
        <v>2441381000</v>
      </c>
    </row>
    <row r="4" spans="1:4" ht="18" x14ac:dyDescent="0.2">
      <c r="A4" s="1">
        <v>2</v>
      </c>
      <c r="B4" s="11" t="s">
        <v>12</v>
      </c>
      <c r="C4" s="3">
        <v>61783235</v>
      </c>
    </row>
    <row r="5" spans="1:4" ht="18" x14ac:dyDescent="0.2">
      <c r="A5" s="1"/>
      <c r="B5" s="11" t="s">
        <v>9</v>
      </c>
      <c r="C5" s="3">
        <v>10211870</v>
      </c>
    </row>
    <row r="6" spans="1:4" s="6" customFormat="1" ht="18" x14ac:dyDescent="0.2">
      <c r="A6" s="5">
        <v>3</v>
      </c>
      <c r="B6" s="11" t="s">
        <v>10</v>
      </c>
      <c r="C6" s="3">
        <v>248980095</v>
      </c>
      <c r="D6"/>
    </row>
    <row r="7" spans="1:4" s="6" customFormat="1" ht="18" x14ac:dyDescent="0.2">
      <c r="A7" s="11"/>
      <c r="B7" s="11" t="s">
        <v>11</v>
      </c>
      <c r="C7" s="3">
        <v>19081465</v>
      </c>
      <c r="D7"/>
    </row>
    <row r="8" spans="1:4" ht="18" x14ac:dyDescent="0.2">
      <c r="A8" s="1">
        <v>4</v>
      </c>
      <c r="B8" s="11" t="s">
        <v>7</v>
      </c>
      <c r="C8" s="3">
        <v>5173655</v>
      </c>
    </row>
    <row r="9" spans="1:4" ht="18" x14ac:dyDescent="0.2">
      <c r="A9" s="1">
        <v>5</v>
      </c>
      <c r="B9" s="11" t="s">
        <v>8</v>
      </c>
      <c r="C9" s="3">
        <v>8290195</v>
      </c>
    </row>
    <row r="10" spans="1:4" ht="18" x14ac:dyDescent="0.2">
      <c r="A10" s="5">
        <v>6</v>
      </c>
      <c r="B10" s="9" t="s">
        <v>6</v>
      </c>
      <c r="C10" s="7">
        <f>SUM(C4:C9)</f>
        <v>353520515</v>
      </c>
    </row>
    <row r="11" spans="1:4" s="6" customFormat="1" ht="15.75" x14ac:dyDescent="0.2">
      <c r="A11" s="8">
        <v>7</v>
      </c>
      <c r="B11" s="8" t="s">
        <v>0</v>
      </c>
      <c r="C11" s="12">
        <f>C10/C3</f>
        <v>0.14480350055972419</v>
      </c>
      <c r="D11"/>
    </row>
    <row r="12" spans="1:4" s="6" customFormat="1" ht="15.75" x14ac:dyDescent="0.2">
      <c r="A12" s="8">
        <v>8</v>
      </c>
      <c r="B12" s="8" t="s">
        <v>1</v>
      </c>
      <c r="C12" s="13">
        <f>C10/C3*100</f>
        <v>14.480350055972419</v>
      </c>
      <c r="D12"/>
    </row>
    <row r="13" spans="1:4" ht="15.75" x14ac:dyDescent="0.2">
      <c r="B13" s="2" t="s">
        <v>4</v>
      </c>
    </row>
  </sheetData>
  <mergeCells count="1">
    <mergeCell ref="A1:C1"/>
  </mergeCells>
  <pageMargins left="0.7" right="0.7" top="0.75" bottom="0.75" header="0.3" footer="0.3"/>
  <pageSetup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تولید و فروش سرباره</vt:lpstr>
    </vt:vector>
  </TitlesOfParts>
  <Company>Esfahan's Mobarakeh Steel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ROOHOLLAH SORI</dc:creator>
  <cp:lastModifiedBy>روح اله سوری</cp:lastModifiedBy>
  <cp:lastPrinted>2025-07-08T06:21:05Z</cp:lastPrinted>
  <dcterms:created xsi:type="dcterms:W3CDTF">2019-10-22T05:19:05Z</dcterms:created>
  <dcterms:modified xsi:type="dcterms:W3CDTF">2026-01-04T12:03:27Z</dcterms:modified>
</cp:coreProperties>
</file>