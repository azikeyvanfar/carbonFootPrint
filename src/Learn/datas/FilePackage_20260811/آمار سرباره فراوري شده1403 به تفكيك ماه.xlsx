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C:\Users\934463\Desktop\"/>
    </mc:Choice>
  </mc:AlternateContent>
  <xr:revisionPtr revIDLastSave="0" documentId="13_ncr:1_{FB7A75E3-2630-4D0A-8749-01B289C671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40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6" l="1"/>
  <c r="C29" i="6"/>
  <c r="E28" i="6"/>
  <c r="D28" i="6"/>
  <c r="C28" i="6"/>
  <c r="B28" i="6"/>
  <c r="F28" i="6" s="1"/>
  <c r="E27" i="6"/>
  <c r="E29" i="6" s="1"/>
  <c r="D27" i="6"/>
  <c r="D29" i="6" s="1"/>
  <c r="C27" i="6"/>
  <c r="B27" i="6"/>
  <c r="B29" i="6" s="1"/>
  <c r="E21" i="6"/>
  <c r="D21" i="6"/>
  <c r="C21" i="6"/>
  <c r="B21" i="6"/>
  <c r="F21" i="6" s="1"/>
  <c r="E20" i="6"/>
  <c r="E22" i="6" s="1"/>
  <c r="D20" i="6"/>
  <c r="D22" i="6" s="1"/>
  <c r="C20" i="6"/>
  <c r="C22" i="6" s="1"/>
  <c r="B20" i="6"/>
  <c r="F20" i="6" s="1"/>
  <c r="F22" i="6" s="1"/>
  <c r="B22" i="6" l="1"/>
  <c r="F27" i="6"/>
  <c r="F29" i="6" s="1"/>
  <c r="E13" i="6" l="1"/>
  <c r="E12" i="6"/>
  <c r="E11" i="6"/>
  <c r="D13" i="6"/>
  <c r="D12" i="6"/>
  <c r="D11" i="6"/>
  <c r="C13" i="6"/>
  <c r="C12" i="6"/>
  <c r="C11" i="6"/>
  <c r="B13" i="6"/>
  <c r="B12" i="6"/>
  <c r="B11" i="6"/>
  <c r="E5" i="6"/>
  <c r="E4" i="6"/>
  <c r="E3" i="6"/>
  <c r="D5" i="6"/>
  <c r="D4" i="6"/>
  <c r="D3" i="6"/>
  <c r="C5" i="6"/>
  <c r="C4" i="6"/>
  <c r="C3" i="6"/>
  <c r="B5" i="6"/>
  <c r="B4" i="6"/>
  <c r="B3" i="6"/>
  <c r="E14" i="6" l="1"/>
  <c r="E6" i="6"/>
  <c r="B6" i="6"/>
  <c r="F11" i="6"/>
  <c r="C14" i="6"/>
  <c r="F13" i="6"/>
  <c r="B14" i="6"/>
  <c r="F12" i="6"/>
  <c r="D14" i="6"/>
  <c r="F5" i="6"/>
  <c r="D6" i="6"/>
  <c r="F4" i="6"/>
  <c r="F3" i="6"/>
  <c r="C6" i="6"/>
  <c r="F14" i="6" l="1"/>
  <c r="F6" i="6"/>
</calcChain>
</file>

<file path=xl/sharedStrings.xml><?xml version="1.0" encoding="utf-8"?>
<sst xmlns="http://schemas.openxmlformats.org/spreadsheetml/2006/main" count="88" uniqueCount="29">
  <si>
    <t>مجموع</t>
  </si>
  <si>
    <t>سه ماهه دوم</t>
  </si>
  <si>
    <t>سه ماهه سوم</t>
  </si>
  <si>
    <t>سه ماهه چهارم</t>
  </si>
  <si>
    <t>یکساله</t>
  </si>
  <si>
    <t xml:space="preserve">سه ماهه اول </t>
  </si>
  <si>
    <t>مرداد</t>
  </si>
  <si>
    <t>شهریور</t>
  </si>
  <si>
    <t>آذر</t>
  </si>
  <si>
    <t>فروردین</t>
  </si>
  <si>
    <t>اردیبهشت</t>
  </si>
  <si>
    <t>خرداد</t>
  </si>
  <si>
    <t>تیر</t>
  </si>
  <si>
    <t>مهر</t>
  </si>
  <si>
    <t>آبان</t>
  </si>
  <si>
    <t>دی</t>
  </si>
  <si>
    <t xml:space="preserve"> بهمن </t>
  </si>
  <si>
    <t>اسفند</t>
  </si>
  <si>
    <t>کلوخه</t>
  </si>
  <si>
    <t>ضایعات ذوبی</t>
  </si>
  <si>
    <t>آمار سرباره مصرف خارجی - سال 1403 (آواتجهیزتکین)- کیلوگرم</t>
  </si>
  <si>
    <t>سرباره فروخته شده(سیمان)</t>
  </si>
  <si>
    <t>آمار سرباره مصرف خارجی - سال 1403 (به آذین قطعات)- کیلوگرم</t>
  </si>
  <si>
    <t>سرباره فروخته شده به شهرداری</t>
  </si>
  <si>
    <t>آمار سرباره مصرف داخلی - سال 1403 (به آذین قطعات)- کیلوگرم</t>
  </si>
  <si>
    <t>سرباره تحویلی به پیمانکاران(فروش آزاد)</t>
  </si>
  <si>
    <t xml:space="preserve">سرباره تحویلی به فولاد </t>
  </si>
  <si>
    <t>آمار سرباره مصرف داخلی - سال 1403 (آواتجهیزتکین)- کیلوگرم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</si>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</sst>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2"/>
      <color theme="1"/>
      <name val="B Mitra"/>
      <charset val="178"/>
    </font>
    <font>
      <b/>
      <sz val="11"/>
      <color theme="1"/>
      <name val="B Mitra"/>
      <charset val="178"/>
    </font>
    <font>
      <b/>
      <sz val="11"/>
      <color theme="1"/>
      <name val="B Titr"/>
      <charset val="178"/>
    </font>
    <font>
      <sz val="11"/>
      <color theme="1"/>
      <name val="B Lotus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FBA-3FDD-45AA-BA0B-11FDBCBE23AA}">
  <sheetPr>
    <tabColor theme="5" tint="-0.249977111117893"/>
  </sheetPr>
  <dimension ref="A1:S31"/>
  <sheetViews>
    <sheetView rightToLeft="1" tabSelected="1" zoomScale="90" zoomScaleNormal="90" workbookViewId="0">
      <selection activeCell="G3" sqref="G3"/>
    </sheetView>
  </sheetViews>
  <sheetFormatPr defaultRowHeight="14.25" x14ac:dyDescent="0.2"/>
  <cols>
    <col min="1" max="1" width="18.5" customWidth="1"/>
    <col min="2" max="2" width="9.125" bestFit="1" customWidth="1"/>
    <col min="4" max="4" width="10" bestFit="1" customWidth="1"/>
    <col min="5" max="5" width="10.875" bestFit="1" customWidth="1"/>
    <col min="6" max="6" width="12.75" customWidth="1"/>
  </cols>
  <sheetData>
    <row r="1" spans="1:19" ht="22.5" x14ac:dyDescent="0.2">
      <c r="A1" s="11" t="s">
        <v>22</v>
      </c>
      <c r="B1" s="11"/>
      <c r="C1" s="11"/>
      <c r="D1" s="11"/>
      <c r="E1" s="11"/>
      <c r="F1" s="11"/>
      <c r="J1" s="7"/>
      <c r="K1" s="7"/>
    </row>
    <row r="2" spans="1:19" ht="18" x14ac:dyDescent="0.2">
      <c r="A2" s="2"/>
      <c r="B2" s="3" t="s">
        <v>5</v>
      </c>
      <c r="C2" s="3" t="s">
        <v>1</v>
      </c>
      <c r="D2" s="3" t="s">
        <v>2</v>
      </c>
      <c r="E2" s="3" t="s">
        <v>3</v>
      </c>
      <c r="F2" s="3" t="s">
        <v>4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6</v>
      </c>
      <c r="M2" s="8" t="s">
        <v>7</v>
      </c>
      <c r="N2" s="8" t="s">
        <v>13</v>
      </c>
      <c r="O2" s="8" t="s">
        <v>14</v>
      </c>
      <c r="P2" s="8" t="s">
        <v>8</v>
      </c>
      <c r="Q2" s="3" t="s">
        <v>15</v>
      </c>
      <c r="R2" s="3" t="s">
        <v>16</v>
      </c>
      <c r="S2" s="3" t="s">
        <v>17</v>
      </c>
    </row>
    <row r="3" spans="1:19" ht="18" customHeight="1" x14ac:dyDescent="0.2">
      <c r="A3" s="4" t="s">
        <v>21</v>
      </c>
      <c r="B3" s="1">
        <f>H3+I3+J3</f>
        <v>14899370</v>
      </c>
      <c r="C3" s="1">
        <f>K3+L3+M3</f>
        <v>16700110</v>
      </c>
      <c r="D3" s="1">
        <f>N3+O3+P3</f>
        <v>13286055</v>
      </c>
      <c r="E3" s="1">
        <f>Q3+R3+S3</f>
        <v>16897700</v>
      </c>
      <c r="F3" s="1">
        <f>SUM(B3:E3)</f>
        <v>61783235</v>
      </c>
      <c r="H3" s="9">
        <v>4091170</v>
      </c>
      <c r="I3" s="9">
        <v>7464160</v>
      </c>
      <c r="J3" s="9">
        <v>3344040</v>
      </c>
      <c r="K3" s="9">
        <v>4190450</v>
      </c>
      <c r="L3" s="9">
        <v>7402860</v>
      </c>
      <c r="M3" s="9">
        <v>5106800</v>
      </c>
      <c r="N3" s="9">
        <v>5027390</v>
      </c>
      <c r="O3" s="9">
        <v>8258665</v>
      </c>
      <c r="P3" s="9">
        <v>0</v>
      </c>
      <c r="Q3" s="9">
        <v>4259850</v>
      </c>
      <c r="R3" s="9">
        <v>8586620</v>
      </c>
      <c r="S3" s="9">
        <v>4051230</v>
      </c>
    </row>
    <row r="4" spans="1:19" ht="18" x14ac:dyDescent="0.2">
      <c r="A4" s="4" t="s">
        <v>18</v>
      </c>
      <c r="B4" s="1">
        <f>H4+I4+J4</f>
        <v>525440</v>
      </c>
      <c r="C4" s="1">
        <f>K4+L4+M4</f>
        <v>630860</v>
      </c>
      <c r="D4" s="1">
        <f>N4+O4+P4</f>
        <v>654995</v>
      </c>
      <c r="E4" s="1">
        <f>Q4+R4+S4</f>
        <v>551475</v>
      </c>
      <c r="F4" s="1">
        <f t="shared" ref="F4:F5" si="0">SUM(B4:E4)</f>
        <v>2362770</v>
      </c>
      <c r="H4" s="9">
        <v>0</v>
      </c>
      <c r="I4" s="9">
        <v>148720</v>
      </c>
      <c r="J4" s="9">
        <v>376720</v>
      </c>
      <c r="K4" s="9">
        <v>47940</v>
      </c>
      <c r="L4" s="9">
        <v>263500</v>
      </c>
      <c r="M4" s="9">
        <v>319420</v>
      </c>
      <c r="N4" s="9">
        <v>295250</v>
      </c>
      <c r="O4" s="9">
        <v>166535</v>
      </c>
      <c r="P4" s="9">
        <v>193210</v>
      </c>
      <c r="Q4" s="9">
        <v>220960</v>
      </c>
      <c r="R4" s="9">
        <v>283725</v>
      </c>
      <c r="S4" s="9">
        <v>46790</v>
      </c>
    </row>
    <row r="5" spans="1:19" ht="18" x14ac:dyDescent="0.2">
      <c r="A5" s="4" t="s">
        <v>19</v>
      </c>
      <c r="B5" s="1">
        <f>H5+I5+J5</f>
        <v>616270</v>
      </c>
      <c r="C5" s="1">
        <f>K5+L5+M5</f>
        <v>715020</v>
      </c>
      <c r="D5" s="1">
        <f>N5+O5+P5</f>
        <v>917850</v>
      </c>
      <c r="E5" s="1">
        <f>Q5+R5+S5</f>
        <v>1111900</v>
      </c>
      <c r="F5" s="1">
        <f t="shared" si="0"/>
        <v>3361040</v>
      </c>
      <c r="H5" s="9">
        <v>0</v>
      </c>
      <c r="I5" s="9">
        <v>189650</v>
      </c>
      <c r="J5" s="9">
        <v>426620</v>
      </c>
      <c r="K5" s="9">
        <v>0</v>
      </c>
      <c r="L5" s="9">
        <v>279900</v>
      </c>
      <c r="M5" s="9">
        <v>435120</v>
      </c>
      <c r="N5" s="9">
        <v>0</v>
      </c>
      <c r="O5" s="9">
        <v>446730</v>
      </c>
      <c r="P5" s="9">
        <v>471120</v>
      </c>
      <c r="Q5" s="9">
        <v>246880</v>
      </c>
      <c r="R5" s="9">
        <v>0</v>
      </c>
      <c r="S5" s="9">
        <v>865020</v>
      </c>
    </row>
    <row r="6" spans="1:19" ht="18" x14ac:dyDescent="0.2">
      <c r="A6" s="5" t="s">
        <v>0</v>
      </c>
      <c r="B6" s="6">
        <f>SUM(B3:B5)</f>
        <v>16041080</v>
      </c>
      <c r="C6" s="6">
        <f t="shared" ref="C6:F6" si="1">SUM(C3:C5)</f>
        <v>18045990</v>
      </c>
      <c r="D6" s="6">
        <f t="shared" si="1"/>
        <v>14858900</v>
      </c>
      <c r="E6" s="6">
        <f t="shared" si="1"/>
        <v>18561075</v>
      </c>
      <c r="F6" s="6">
        <f t="shared" si="1"/>
        <v>67507045</v>
      </c>
    </row>
    <row r="9" spans="1:19" ht="22.5" x14ac:dyDescent="0.2">
      <c r="A9" s="12" t="s">
        <v>20</v>
      </c>
      <c r="B9" s="13"/>
      <c r="C9" s="13"/>
      <c r="D9" s="13"/>
      <c r="E9" s="13"/>
      <c r="F9" s="14"/>
    </row>
    <row r="10" spans="1:19" ht="18" x14ac:dyDescent="0.2">
      <c r="A10" s="2"/>
      <c r="B10" s="3" t="s">
        <v>5</v>
      </c>
      <c r="C10" s="3" t="s">
        <v>1</v>
      </c>
      <c r="D10" s="3" t="s">
        <v>2</v>
      </c>
      <c r="E10" s="3" t="s">
        <v>3</v>
      </c>
      <c r="F10" s="3" t="s">
        <v>4</v>
      </c>
      <c r="H10" s="8" t="s">
        <v>9</v>
      </c>
      <c r="I10" s="8" t="s">
        <v>10</v>
      </c>
      <c r="J10" s="8" t="s">
        <v>11</v>
      </c>
      <c r="K10" s="8" t="s">
        <v>12</v>
      </c>
      <c r="L10" s="8" t="s">
        <v>6</v>
      </c>
      <c r="M10" s="8" t="s">
        <v>7</v>
      </c>
      <c r="N10" s="8" t="s">
        <v>13</v>
      </c>
      <c r="O10" s="8" t="s">
        <v>14</v>
      </c>
      <c r="P10" s="8" t="s">
        <v>8</v>
      </c>
      <c r="Q10" s="3" t="s">
        <v>15</v>
      </c>
      <c r="R10" s="3" t="s">
        <v>16</v>
      </c>
      <c r="S10" s="3" t="s">
        <v>17</v>
      </c>
    </row>
    <row r="11" spans="1:19" ht="18" x14ac:dyDescent="0.2">
      <c r="A11" s="4" t="s">
        <v>21</v>
      </c>
      <c r="B11" s="1">
        <f>H11+I11+J11</f>
        <v>0</v>
      </c>
      <c r="C11" s="1">
        <f>K11+L11+M11</f>
        <v>0</v>
      </c>
      <c r="D11" s="1">
        <f>N11+O11+P11</f>
        <v>0</v>
      </c>
      <c r="E11" s="1">
        <f>Q11+R11+S11</f>
        <v>0</v>
      </c>
      <c r="F11" s="1">
        <f>SUM(B11:E11)</f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spans="1:19" ht="18" x14ac:dyDescent="0.2">
      <c r="A12" s="4" t="s">
        <v>18</v>
      </c>
      <c r="B12" s="1">
        <f>H12+I12+J12</f>
        <v>1255300</v>
      </c>
      <c r="C12" s="1">
        <f>K12+L12+M12</f>
        <v>1168750</v>
      </c>
      <c r="D12" s="1">
        <f>N12+O12+P12</f>
        <v>1530670</v>
      </c>
      <c r="E12" s="1">
        <f>Q12+R12+S12</f>
        <v>1972705</v>
      </c>
      <c r="F12" s="1">
        <f t="shared" ref="F12:F13" si="2">SUM(B12:E12)</f>
        <v>5927425</v>
      </c>
      <c r="H12" s="9">
        <v>246700</v>
      </c>
      <c r="I12" s="9">
        <v>633460</v>
      </c>
      <c r="J12" s="9">
        <v>375140</v>
      </c>
      <c r="K12" s="9">
        <v>127890</v>
      </c>
      <c r="L12" s="9">
        <v>807860</v>
      </c>
      <c r="M12" s="9">
        <v>233000</v>
      </c>
      <c r="N12" s="9">
        <v>0</v>
      </c>
      <c r="O12" s="9">
        <v>525035</v>
      </c>
      <c r="P12" s="9">
        <v>1005635</v>
      </c>
      <c r="Q12" s="9">
        <v>1022575</v>
      </c>
      <c r="R12" s="9">
        <v>459790</v>
      </c>
      <c r="S12" s="9">
        <v>490340</v>
      </c>
    </row>
    <row r="13" spans="1:19" ht="18" x14ac:dyDescent="0.2">
      <c r="A13" s="4" t="s">
        <v>19</v>
      </c>
      <c r="B13" s="1">
        <f>H13+I13+J13</f>
        <v>725670</v>
      </c>
      <c r="C13" s="1">
        <f>K13+L13+M13</f>
        <v>201220</v>
      </c>
      <c r="D13" s="1">
        <f>N13+O13+P13</f>
        <v>248340</v>
      </c>
      <c r="E13" s="1">
        <f>Q13+R13+S13</f>
        <v>637385</v>
      </c>
      <c r="F13" s="1">
        <f t="shared" si="2"/>
        <v>1812615</v>
      </c>
      <c r="H13" s="9">
        <v>136610</v>
      </c>
      <c r="I13" s="9">
        <v>384920</v>
      </c>
      <c r="J13" s="9">
        <v>204140</v>
      </c>
      <c r="K13" s="9">
        <v>115960</v>
      </c>
      <c r="L13" s="9">
        <v>85260</v>
      </c>
      <c r="M13" s="9">
        <v>0</v>
      </c>
      <c r="N13" s="9">
        <v>0</v>
      </c>
      <c r="O13" s="9">
        <v>0</v>
      </c>
      <c r="P13" s="9">
        <v>248340</v>
      </c>
      <c r="Q13" s="9">
        <v>437455</v>
      </c>
      <c r="R13" s="9">
        <v>0</v>
      </c>
      <c r="S13" s="9">
        <v>199930</v>
      </c>
    </row>
    <row r="14" spans="1:19" ht="18" x14ac:dyDescent="0.2">
      <c r="A14" s="5" t="s">
        <v>0</v>
      </c>
      <c r="B14" s="6">
        <f>SUM(B11:B13)</f>
        <v>1980970</v>
      </c>
      <c r="C14" s="6">
        <f t="shared" ref="C14:F14" si="3">SUM(C11:C13)</f>
        <v>1369970</v>
      </c>
      <c r="D14" s="6">
        <f t="shared" si="3"/>
        <v>1779010</v>
      </c>
      <c r="E14" s="6">
        <f t="shared" si="3"/>
        <v>2610090</v>
      </c>
      <c r="F14" s="6">
        <f t="shared" si="3"/>
        <v>7740040</v>
      </c>
    </row>
    <row r="16" spans="1:19" ht="18" x14ac:dyDescent="0.2">
      <c r="A16" s="15" t="s">
        <v>23</v>
      </c>
      <c r="B16" s="16"/>
      <c r="C16" s="16"/>
      <c r="D16" s="16"/>
      <c r="E16" s="17"/>
      <c r="F16" s="6">
        <v>10211870</v>
      </c>
    </row>
    <row r="18" spans="1:19" ht="22.5" x14ac:dyDescent="0.2">
      <c r="A18" s="11" t="s">
        <v>24</v>
      </c>
      <c r="B18" s="11"/>
      <c r="C18" s="11"/>
      <c r="D18" s="11"/>
      <c r="E18" s="11"/>
      <c r="F18" s="11"/>
      <c r="J18" s="7"/>
      <c r="K18" s="7"/>
    </row>
    <row r="19" spans="1:19" ht="18" x14ac:dyDescent="0.2">
      <c r="A19" s="2"/>
      <c r="B19" s="3" t="s">
        <v>5</v>
      </c>
      <c r="C19" s="3" t="s">
        <v>1</v>
      </c>
      <c r="D19" s="3" t="s">
        <v>2</v>
      </c>
      <c r="E19" s="3" t="s">
        <v>3</v>
      </c>
      <c r="F19" s="3" t="s">
        <v>4</v>
      </c>
      <c r="H19" s="8" t="s">
        <v>9</v>
      </c>
      <c r="I19" s="8" t="s">
        <v>10</v>
      </c>
      <c r="J19" s="8" t="s">
        <v>11</v>
      </c>
      <c r="K19" s="8" t="s">
        <v>12</v>
      </c>
      <c r="L19" s="8" t="s">
        <v>6</v>
      </c>
      <c r="M19" s="8" t="s">
        <v>7</v>
      </c>
      <c r="N19" s="8" t="s">
        <v>13</v>
      </c>
      <c r="O19" s="8" t="s">
        <v>14</v>
      </c>
      <c r="P19" s="8" t="s">
        <v>8</v>
      </c>
      <c r="Q19" s="3" t="s">
        <v>15</v>
      </c>
      <c r="R19" s="3" t="s">
        <v>16</v>
      </c>
      <c r="S19" s="3" t="s">
        <v>17</v>
      </c>
    </row>
    <row r="20" spans="1:19" ht="18" x14ac:dyDescent="0.2">
      <c r="A20" s="10" t="s">
        <v>25</v>
      </c>
      <c r="B20" s="1">
        <f>H20+I20+J20</f>
        <v>1543520</v>
      </c>
      <c r="C20" s="1">
        <f>K20+L20+M20</f>
        <v>4646955</v>
      </c>
      <c r="D20" s="1">
        <f>N20+O20+P20</f>
        <v>2855715</v>
      </c>
      <c r="E20" s="1">
        <f>Q20+R20+S20</f>
        <v>110475</v>
      </c>
      <c r="F20" s="1">
        <f>B20+C20+D20+E20</f>
        <v>9156665</v>
      </c>
      <c r="H20" s="9">
        <v>0</v>
      </c>
      <c r="I20" s="9">
        <v>1082950</v>
      </c>
      <c r="J20" s="9">
        <v>460570</v>
      </c>
      <c r="K20" s="9">
        <v>597540</v>
      </c>
      <c r="L20" s="9">
        <v>1739515</v>
      </c>
      <c r="M20" s="9">
        <v>2309900</v>
      </c>
      <c r="N20" s="9">
        <v>1252810</v>
      </c>
      <c r="O20" s="9">
        <v>1602905</v>
      </c>
      <c r="P20" s="9">
        <v>0</v>
      </c>
      <c r="Q20" s="9">
        <v>55115</v>
      </c>
      <c r="R20" s="9">
        <v>39830</v>
      </c>
      <c r="S20" s="9">
        <v>15530</v>
      </c>
    </row>
    <row r="21" spans="1:19" ht="18" x14ac:dyDescent="0.2">
      <c r="A21" s="10" t="s">
        <v>26</v>
      </c>
      <c r="B21" s="1">
        <f>H21+I21+J21</f>
        <v>25782620</v>
      </c>
      <c r="C21" s="1">
        <f>K21+L21+M21</f>
        <v>15154450</v>
      </c>
      <c r="D21" s="1">
        <f>N21+O21+P21</f>
        <v>24664655</v>
      </c>
      <c r="E21" s="1">
        <f>Q21+R21+S21</f>
        <v>56073330</v>
      </c>
      <c r="F21" s="1">
        <f>B21+C21+D21+E21</f>
        <v>121675055</v>
      </c>
      <c r="H21" s="9">
        <v>5435020</v>
      </c>
      <c r="I21" s="9">
        <v>7540750</v>
      </c>
      <c r="J21" s="9">
        <v>12806850</v>
      </c>
      <c r="K21" s="9">
        <v>6032000</v>
      </c>
      <c r="L21" s="9">
        <v>6299970</v>
      </c>
      <c r="M21" s="9">
        <v>2822480</v>
      </c>
      <c r="N21" s="9">
        <v>9929350</v>
      </c>
      <c r="O21" s="9">
        <v>4975905</v>
      </c>
      <c r="P21" s="9">
        <v>9759400</v>
      </c>
      <c r="Q21" s="9">
        <v>4649785</v>
      </c>
      <c r="R21" s="9">
        <v>33839730</v>
      </c>
      <c r="S21" s="9">
        <v>17583815</v>
      </c>
    </row>
    <row r="22" spans="1:19" ht="18" x14ac:dyDescent="0.2">
      <c r="A22" s="5" t="s">
        <v>0</v>
      </c>
      <c r="B22" s="6">
        <f>SUM(B20:B21)</f>
        <v>27326140</v>
      </c>
      <c r="C22" s="6">
        <f>SUM(C20:C21)</f>
        <v>19801405</v>
      </c>
      <c r="D22" s="6">
        <f t="shared" ref="D22:F22" si="4">SUM(D20:D21)</f>
        <v>27520370</v>
      </c>
      <c r="E22" s="6">
        <f t="shared" si="4"/>
        <v>56183805</v>
      </c>
      <c r="F22" s="6">
        <f t="shared" si="4"/>
        <v>130831720</v>
      </c>
    </row>
    <row r="25" spans="1:19" ht="22.5" x14ac:dyDescent="0.2">
      <c r="A25" s="12" t="s">
        <v>27</v>
      </c>
      <c r="B25" s="13"/>
      <c r="C25" s="13"/>
      <c r="D25" s="13"/>
      <c r="E25" s="13"/>
      <c r="F25" s="14"/>
    </row>
    <row r="26" spans="1:19" ht="18" x14ac:dyDescent="0.2">
      <c r="A26" s="2"/>
      <c r="B26" s="3" t="s">
        <v>5</v>
      </c>
      <c r="C26" s="3" t="s">
        <v>1</v>
      </c>
      <c r="D26" s="3" t="s">
        <v>2</v>
      </c>
      <c r="E26" s="3" t="s">
        <v>3</v>
      </c>
      <c r="F26" s="3" t="s">
        <v>4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6</v>
      </c>
      <c r="M26" s="8" t="s">
        <v>7</v>
      </c>
      <c r="N26" s="8" t="s">
        <v>13</v>
      </c>
      <c r="O26" s="8" t="s">
        <v>14</v>
      </c>
      <c r="P26" s="8" t="s">
        <v>8</v>
      </c>
      <c r="Q26" s="3" t="s">
        <v>15</v>
      </c>
      <c r="R26" s="3" t="s">
        <v>16</v>
      </c>
      <c r="S26" s="3" t="s">
        <v>17</v>
      </c>
    </row>
    <row r="27" spans="1:19" ht="18" x14ac:dyDescent="0.2">
      <c r="A27" s="10" t="s">
        <v>25</v>
      </c>
      <c r="B27" s="1">
        <f>H27+I27+J27</f>
        <v>3987480</v>
      </c>
      <c r="C27" s="1">
        <f>K27+L27+M27</f>
        <v>3732100</v>
      </c>
      <c r="D27" s="1">
        <f>N27+O27+P27</f>
        <v>1136580</v>
      </c>
      <c r="E27" s="1">
        <f>Q27+R27+S27</f>
        <v>1068640</v>
      </c>
      <c r="F27" s="1">
        <f>B27+C27+D27+E27</f>
        <v>9924800</v>
      </c>
      <c r="H27" s="9">
        <v>209480</v>
      </c>
      <c r="I27" s="9">
        <v>772000</v>
      </c>
      <c r="J27" s="9">
        <v>3006000</v>
      </c>
      <c r="K27" s="9">
        <v>1634020</v>
      </c>
      <c r="L27" s="9">
        <v>1655670</v>
      </c>
      <c r="M27" s="9">
        <v>442410</v>
      </c>
      <c r="N27" s="9">
        <v>138940</v>
      </c>
      <c r="O27" s="9">
        <v>468275</v>
      </c>
      <c r="P27" s="9">
        <v>529365</v>
      </c>
      <c r="Q27" s="9">
        <v>632820</v>
      </c>
      <c r="R27" s="9">
        <v>268670</v>
      </c>
      <c r="S27" s="9">
        <v>167150</v>
      </c>
    </row>
    <row r="28" spans="1:19" ht="18" x14ac:dyDescent="0.2">
      <c r="A28" s="10" t="s">
        <v>26</v>
      </c>
      <c r="B28" s="1">
        <f>H28+I28+J28+G18</f>
        <v>29091990</v>
      </c>
      <c r="C28" s="1">
        <f>K28+L28+M28</f>
        <v>22954230</v>
      </c>
      <c r="D28" s="1">
        <f>N28+O28+P28</f>
        <v>29303005</v>
      </c>
      <c r="E28" s="1">
        <f>Q28+R28+S28</f>
        <v>45955815</v>
      </c>
      <c r="F28" s="1">
        <f>B28+C28+D28+E28</f>
        <v>127305040</v>
      </c>
      <c r="H28" s="9">
        <v>5989710</v>
      </c>
      <c r="I28" s="9">
        <v>12138170</v>
      </c>
      <c r="J28" s="9">
        <v>10964110</v>
      </c>
      <c r="K28" s="9">
        <v>7559870</v>
      </c>
      <c r="L28" s="9">
        <v>6484360</v>
      </c>
      <c r="M28" s="9">
        <v>8910000</v>
      </c>
      <c r="N28" s="9">
        <v>11015560</v>
      </c>
      <c r="O28" s="9">
        <v>8836530</v>
      </c>
      <c r="P28" s="9">
        <v>9450915</v>
      </c>
      <c r="Q28" s="9">
        <v>16831355</v>
      </c>
      <c r="R28" s="9">
        <v>15722750</v>
      </c>
      <c r="S28" s="9">
        <v>13401710</v>
      </c>
    </row>
    <row r="29" spans="1:19" ht="18" x14ac:dyDescent="0.2">
      <c r="A29" s="5" t="s">
        <v>0</v>
      </c>
      <c r="B29" s="6">
        <f>B27+B28</f>
        <v>33079470</v>
      </c>
      <c r="C29" s="6">
        <f t="shared" ref="C29:F29" si="5">C27+C28</f>
        <v>26686330</v>
      </c>
      <c r="D29" s="6">
        <f t="shared" si="5"/>
        <v>30439585</v>
      </c>
      <c r="E29" s="6">
        <f t="shared" si="5"/>
        <v>47024455</v>
      </c>
      <c r="F29" s="6">
        <f t="shared" si="5"/>
        <v>137229840</v>
      </c>
    </row>
    <row r="31" spans="1:19" ht="18" x14ac:dyDescent="0.2">
      <c r="A31" s="18" t="s">
        <v>28</v>
      </c>
      <c r="B31" s="19"/>
      <c r="C31" s="19"/>
      <c r="D31" s="19"/>
      <c r="E31" s="20"/>
      <c r="F31" s="9">
        <f>F29+F22+F16+F14+F6</f>
        <v>353520515</v>
      </c>
    </row>
  </sheetData>
  <mergeCells count="6">
    <mergeCell ref="A31:E31"/>
    <mergeCell ref="A1:F1"/>
    <mergeCell ref="A9:F9"/>
    <mergeCell ref="A16:E16"/>
    <mergeCell ref="A18:F18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1403</vt:lpstr>
    </vt:vector>
  </TitlesOfParts>
  <Company>Esfahan's Mobarakeh Steel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ROOHOLLAH SORI</dc:creator>
  <cp:lastModifiedBy>روح اله سوری</cp:lastModifiedBy>
  <cp:lastPrinted>2022-08-21T04:09:16Z</cp:lastPrinted>
  <dcterms:created xsi:type="dcterms:W3CDTF">2019-10-08T04:49:51Z</dcterms:created>
  <dcterms:modified xsi:type="dcterms:W3CDTF">2026-01-04T12:02:55Z</dcterms:modified>
</cp:coreProperties>
</file>